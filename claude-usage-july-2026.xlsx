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nicolasmuller/Desktop/WIP/"/>
    </mc:Choice>
  </mc:AlternateContent>
  <xr:revisionPtr revIDLastSave="0" documentId="13_ncr:1_{342B68B2-2967-2947-B10B-E7FF6AA7114F}" xr6:coauthVersionLast="47" xr6:coauthVersionMax="47" xr10:uidLastSave="{00000000-0000-0000-0000-000000000000}"/>
  <bookViews>
    <workbookView xWindow="0" yWindow="580" windowWidth="29920" windowHeight="18760" tabRatio="500" activeTab="1" xr2:uid="{00000000-000D-0000-FFFF-FFFF00000000}"/>
  </bookViews>
  <sheets>
    <sheet name="Assumptions" sheetId="1" r:id="rId1"/>
    <sheet name="July 2026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2" i="2"/>
  <c r="T39" i="2"/>
  <c r="S39" i="2"/>
  <c r="U39" i="2" s="1"/>
  <c r="O39" i="2"/>
  <c r="N39" i="2"/>
  <c r="M39" i="2"/>
  <c r="L39" i="2"/>
  <c r="K39" i="2"/>
  <c r="G39" i="2"/>
  <c r="F39" i="2"/>
  <c r="E39" i="2"/>
  <c r="D39" i="2"/>
  <c r="B39" i="2"/>
  <c r="U38" i="2"/>
  <c r="Q38" i="2"/>
  <c r="P38" i="2"/>
  <c r="H38" i="2"/>
  <c r="I38" i="2" s="1"/>
  <c r="J38" i="2" s="1"/>
  <c r="U37" i="2"/>
  <c r="P37" i="2"/>
  <c r="Q37" i="2" s="1"/>
  <c r="J37" i="2"/>
  <c r="I37" i="2"/>
  <c r="H37" i="2"/>
  <c r="U36" i="2"/>
  <c r="P36" i="2"/>
  <c r="Q36" i="2" s="1"/>
  <c r="H36" i="2"/>
  <c r="I36" i="2" s="1"/>
  <c r="J36" i="2" s="1"/>
  <c r="C36" i="2"/>
  <c r="U35" i="2"/>
  <c r="P35" i="2"/>
  <c r="Q35" i="2" s="1"/>
  <c r="H35" i="2"/>
  <c r="I35" i="2" s="1"/>
  <c r="J35" i="2" s="1"/>
  <c r="U34" i="2"/>
  <c r="P34" i="2"/>
  <c r="Q34" i="2" s="1"/>
  <c r="H34" i="2"/>
  <c r="I34" i="2" s="1"/>
  <c r="J34" i="2" s="1"/>
  <c r="U33" i="2"/>
  <c r="P33" i="2"/>
  <c r="Q33" i="2" s="1"/>
  <c r="H33" i="2"/>
  <c r="I33" i="2" s="1"/>
  <c r="J33" i="2" s="1"/>
  <c r="U32" i="2"/>
  <c r="P32" i="2"/>
  <c r="Q32" i="2" s="1"/>
  <c r="H32" i="2"/>
  <c r="I32" i="2" s="1"/>
  <c r="J32" i="2" s="1"/>
  <c r="U31" i="2"/>
  <c r="Q31" i="2"/>
  <c r="P31" i="2"/>
  <c r="H31" i="2"/>
  <c r="I31" i="2" s="1"/>
  <c r="J31" i="2" s="1"/>
  <c r="U30" i="2"/>
  <c r="P30" i="2"/>
  <c r="Q30" i="2" s="1"/>
  <c r="I30" i="2"/>
  <c r="J30" i="2" s="1"/>
  <c r="H30" i="2"/>
  <c r="U29" i="2"/>
  <c r="P29" i="2"/>
  <c r="Q29" i="2" s="1"/>
  <c r="H29" i="2"/>
  <c r="I29" i="2" s="1"/>
  <c r="J29" i="2" s="1"/>
  <c r="U28" i="2"/>
  <c r="Q28" i="2"/>
  <c r="P28" i="2"/>
  <c r="H28" i="2"/>
  <c r="I28" i="2" s="1"/>
  <c r="J28" i="2" s="1"/>
  <c r="U27" i="2"/>
  <c r="P27" i="2"/>
  <c r="Q27" i="2" s="1"/>
  <c r="J27" i="2"/>
  <c r="I27" i="2"/>
  <c r="H27" i="2"/>
  <c r="U26" i="2"/>
  <c r="P26" i="2"/>
  <c r="Q26" i="2" s="1"/>
  <c r="H26" i="2"/>
  <c r="I26" i="2" s="1"/>
  <c r="J26" i="2" s="1"/>
  <c r="C26" i="2"/>
  <c r="U25" i="2"/>
  <c r="P25" i="2"/>
  <c r="Q25" i="2" s="1"/>
  <c r="H25" i="2"/>
  <c r="I25" i="2" s="1"/>
  <c r="J25" i="2" s="1"/>
  <c r="U24" i="2"/>
  <c r="P24" i="2"/>
  <c r="Q24" i="2" s="1"/>
  <c r="H24" i="2"/>
  <c r="I24" i="2" s="1"/>
  <c r="J24" i="2" s="1"/>
  <c r="U23" i="2"/>
  <c r="P23" i="2"/>
  <c r="Q23" i="2" s="1"/>
  <c r="H23" i="2"/>
  <c r="I23" i="2" s="1"/>
  <c r="J23" i="2" s="1"/>
  <c r="U22" i="2"/>
  <c r="P22" i="2"/>
  <c r="Q22" i="2" s="1"/>
  <c r="H22" i="2"/>
  <c r="I22" i="2" s="1"/>
  <c r="J22" i="2" s="1"/>
  <c r="U21" i="2"/>
  <c r="Q21" i="2"/>
  <c r="P21" i="2"/>
  <c r="H21" i="2"/>
  <c r="I21" i="2" s="1"/>
  <c r="J21" i="2" s="1"/>
  <c r="U20" i="2"/>
  <c r="P20" i="2"/>
  <c r="Q20" i="2" s="1"/>
  <c r="I20" i="2"/>
  <c r="J20" i="2" s="1"/>
  <c r="H20" i="2"/>
  <c r="U19" i="2"/>
  <c r="P19" i="2"/>
  <c r="Q19" i="2" s="1"/>
  <c r="H19" i="2"/>
  <c r="I19" i="2" s="1"/>
  <c r="J19" i="2" s="1"/>
  <c r="U18" i="2"/>
  <c r="Q18" i="2"/>
  <c r="P18" i="2"/>
  <c r="H18" i="2"/>
  <c r="I18" i="2" s="1"/>
  <c r="J18" i="2" s="1"/>
  <c r="U17" i="2"/>
  <c r="P17" i="2"/>
  <c r="Q17" i="2" s="1"/>
  <c r="J17" i="2"/>
  <c r="I17" i="2"/>
  <c r="H17" i="2"/>
  <c r="U16" i="2"/>
  <c r="P16" i="2"/>
  <c r="Q16" i="2" s="1"/>
  <c r="H16" i="2"/>
  <c r="I16" i="2" s="1"/>
  <c r="J16" i="2" s="1"/>
  <c r="C16" i="2"/>
  <c r="U15" i="2"/>
  <c r="P15" i="2"/>
  <c r="Q15" i="2" s="1"/>
  <c r="H15" i="2"/>
  <c r="I15" i="2" s="1"/>
  <c r="J15" i="2" s="1"/>
  <c r="U14" i="2"/>
  <c r="P14" i="2"/>
  <c r="Q14" i="2" s="1"/>
  <c r="H14" i="2"/>
  <c r="I14" i="2" s="1"/>
  <c r="J14" i="2" s="1"/>
  <c r="U13" i="2"/>
  <c r="P13" i="2"/>
  <c r="Q13" i="2" s="1"/>
  <c r="H13" i="2"/>
  <c r="I13" i="2" s="1"/>
  <c r="J13" i="2" s="1"/>
  <c r="U12" i="2"/>
  <c r="P12" i="2"/>
  <c r="Q12" i="2" s="1"/>
  <c r="H12" i="2"/>
  <c r="I12" i="2" s="1"/>
  <c r="J12" i="2" s="1"/>
  <c r="U11" i="2"/>
  <c r="Q11" i="2"/>
  <c r="P11" i="2"/>
  <c r="H11" i="2"/>
  <c r="I11" i="2" s="1"/>
  <c r="J11" i="2" s="1"/>
  <c r="U10" i="2"/>
  <c r="P10" i="2"/>
  <c r="Q10" i="2" s="1"/>
  <c r="I10" i="2"/>
  <c r="J10" i="2" s="1"/>
  <c r="H10" i="2"/>
  <c r="U9" i="2"/>
  <c r="P9" i="2"/>
  <c r="Q9" i="2" s="1"/>
  <c r="H9" i="2"/>
  <c r="I9" i="2" s="1"/>
  <c r="J9" i="2" s="1"/>
  <c r="U8" i="2"/>
  <c r="Q8" i="2"/>
  <c r="P8" i="2"/>
  <c r="H8" i="2"/>
  <c r="I8" i="2" s="1"/>
  <c r="J8" i="2" s="1"/>
  <c r="U7" i="2"/>
  <c r="P7" i="2"/>
  <c r="Q7" i="2" s="1"/>
  <c r="J7" i="2"/>
  <c r="I7" i="2"/>
  <c r="H7" i="2"/>
  <c r="U6" i="2"/>
  <c r="P6" i="2"/>
  <c r="Q6" i="2" s="1"/>
  <c r="H6" i="2"/>
  <c r="I6" i="2" s="1"/>
  <c r="J6" i="2" s="1"/>
  <c r="C6" i="2"/>
  <c r="U5" i="2"/>
  <c r="P5" i="2"/>
  <c r="Q5" i="2" s="1"/>
  <c r="H5" i="2"/>
  <c r="I5" i="2" s="1"/>
  <c r="J5" i="2" s="1"/>
  <c r="U4" i="2"/>
  <c r="P4" i="2"/>
  <c r="Q4" i="2" s="1"/>
  <c r="H4" i="2"/>
  <c r="I4" i="2" s="1"/>
  <c r="J4" i="2" s="1"/>
  <c r="U3" i="2"/>
  <c r="P3" i="2"/>
  <c r="Q3" i="2" s="1"/>
  <c r="H3" i="2"/>
  <c r="I3" i="2" s="1"/>
  <c r="J3" i="2" s="1"/>
  <c r="U2" i="2"/>
  <c r="P2" i="2"/>
  <c r="Q2" i="2" s="1"/>
  <c r="H2" i="2"/>
  <c r="I2" i="2" s="1"/>
  <c r="B5" i="1"/>
  <c r="C33" i="2" s="1"/>
  <c r="I39" i="2" l="1"/>
  <c r="J2" i="2"/>
  <c r="C2" i="2"/>
  <c r="C12" i="2"/>
  <c r="C39" i="2"/>
  <c r="C9" i="2"/>
  <c r="C19" i="2"/>
  <c r="C5" i="2"/>
  <c r="P39" i="2"/>
  <c r="Q39" i="2" s="1"/>
  <c r="C29" i="2"/>
  <c r="C22" i="2"/>
  <c r="C15" i="2"/>
  <c r="C25" i="2"/>
  <c r="C35" i="2"/>
  <c r="C11" i="2"/>
  <c r="C21" i="2"/>
  <c r="C31" i="2"/>
  <c r="C4" i="2"/>
  <c r="C14" i="2"/>
  <c r="C24" i="2"/>
  <c r="C34" i="2"/>
  <c r="C7" i="2"/>
  <c r="C17" i="2"/>
  <c r="C27" i="2"/>
  <c r="C37" i="2"/>
  <c r="H39" i="2"/>
  <c r="C10" i="2"/>
  <c r="C20" i="2"/>
  <c r="C30" i="2"/>
  <c r="C32" i="2"/>
  <c r="C8" i="2"/>
  <c r="C18" i="2"/>
  <c r="C28" i="2"/>
  <c r="C38" i="2"/>
  <c r="C3" i="2"/>
  <c r="C13" i="2"/>
  <c r="C23" i="2"/>
  <c r="J39" i="2" l="1"/>
</calcChain>
</file>

<file path=xl/sharedStrings.xml><?xml version="1.0" encoding="utf-8"?>
<sst xmlns="http://schemas.openxmlformats.org/spreadsheetml/2006/main" count="68" uniqueCount="68">
  <si>
    <t>Assumptions — Claude usage, July 2026</t>
  </si>
  <si>
    <t>Weekdays in July 2026</t>
  </si>
  <si>
    <t>Work hours per day</t>
  </si>
  <si>
    <t>Working hours in month</t>
  </si>
  <si>
    <t>Legend: blue cells with yellow fill are editable inputs; all other numbers on the Data sheet come from the Claude enterprise analytics API (usage + users resources, 2026-07-01 to 2026-07-31).</t>
  </si>
  <si>
    <t>Requests = API model calls (includes multi-step tool loops). Threads = chat conversations + Claude Code sessions + Cowork sessions. Claude Code has no per-user message count in the API.</t>
  </si>
  <si>
    <t>Daily max/min are per calendar day (API granularity limit: hourly data is not available). Min is over active days only; inactive days are zero by definition. Peak day requests per work hour = daily max / hours per day.</t>
  </si>
  <si>
    <t>User</t>
  </si>
  <si>
    <t>Requests</t>
  </si>
  <si>
    <t>Requests per work hour</t>
  </si>
  <si>
    <t>Uncached input tokens</t>
  </si>
  <si>
    <t>Cache read tokens</t>
  </si>
  <si>
    <t>Cache write 5m tokens</t>
  </si>
  <si>
    <t>Cache write 1h tokens</t>
  </si>
  <si>
    <t>New input tokens</t>
  </si>
  <si>
    <t>Total input tokens</t>
  </si>
  <si>
    <t>New input share (%)</t>
  </si>
  <si>
    <t>Chat conversations</t>
  </si>
  <si>
    <t>Chat messages</t>
  </si>
  <si>
    <t>Claude Code sessions</t>
  </si>
  <si>
    <t>Cowork sessions</t>
  </si>
  <si>
    <t>Cowork messages</t>
  </si>
  <si>
    <t>Threads started</t>
  </si>
  <si>
    <t>New thread share (% of requests)</t>
  </si>
  <si>
    <t>Active days</t>
  </si>
  <si>
    <t>Daily max requests</t>
  </si>
  <si>
    <t>Daily min requests (active days)</t>
  </si>
  <si>
    <t>Peak day requests per work hour</t>
  </si>
  <si>
    <t>selim.khouaja@arago.inc</t>
  </si>
  <si>
    <t>eliott@arago.inc</t>
  </si>
  <si>
    <t>utu.kaita@arago.inc</t>
  </si>
  <si>
    <t>jifei.yan@arago.inc</t>
  </si>
  <si>
    <t>paul.mella@arago.inc</t>
  </si>
  <si>
    <t>aleksandr.volkov@arago.inc</t>
  </si>
  <si>
    <t>louis.legrain@arago.inc</t>
  </si>
  <si>
    <t>luxin.matasaru@arago.inc</t>
  </si>
  <si>
    <t>amir.akhundzianov@arago.inc</t>
  </si>
  <si>
    <t>vladimir.meshcheriakov@arago.inc</t>
  </si>
  <si>
    <t>hadar.heuberger@arago.inc</t>
  </si>
  <si>
    <t>nikolai.shcherbina@arago.inc</t>
  </si>
  <si>
    <t>antoine.salomon@arago.inc</t>
  </si>
  <si>
    <t>leandro.oliveira@arago.inc</t>
  </si>
  <si>
    <t>andrei.baicu@arago.inc</t>
  </si>
  <si>
    <t>louis.beaucamps@arago.inc</t>
  </si>
  <si>
    <t>matthieu.dupre@arago.inc</t>
  </si>
  <si>
    <t>remi.rousseau@arago.inc</t>
  </si>
  <si>
    <t>nicolas@arago.inc</t>
  </si>
  <si>
    <t>garance.perrot@arago.inc</t>
  </si>
  <si>
    <t>veronika.hryhorenko@arago.inc</t>
  </si>
  <si>
    <t>ivan.gusachenko@arago.inc</t>
  </si>
  <si>
    <t>elias.kibach@arago.inc</t>
  </si>
  <si>
    <t>viachaslau.abramau@arago.inc</t>
  </si>
  <si>
    <t>dzanan.bajgoric@arago.inc</t>
  </si>
  <si>
    <t>anna.miroshnichenko@arago.inc</t>
  </si>
  <si>
    <t>bosko.culibrk@arago.inc</t>
  </si>
  <si>
    <t>asaf.elazari@arago.inc</t>
  </si>
  <si>
    <t>ramazan.abdikarimuly@arago.inc</t>
  </si>
  <si>
    <t>gregory.brancq@arago.inc</t>
  </si>
  <si>
    <t>georgiy.tkachenko@arago.inc</t>
  </si>
  <si>
    <t>matheus.cavalcante@arago.inc</t>
  </si>
  <si>
    <t>andrey.mostovov@arago.inc</t>
  </si>
  <si>
    <t>julien.voillot@arago.inc</t>
  </si>
  <si>
    <t>arthur.burgada@arago.inc</t>
  </si>
  <si>
    <t>louis.cherel@arago.inc</t>
  </si>
  <si>
    <t>sayf@arago.inc</t>
  </si>
  <si>
    <t>Total</t>
  </si>
  <si>
    <t>Total input tokens per day</t>
  </si>
  <si>
    <t>Req/min from max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</si>
</sst>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"/>
    <numFmt numFmtId="166" formatCode="_-* #,##0_-;\-* #,##0_-;_-* &quot;-&quot;??_-;_-@_-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0" xfId="0" applyFont="1" applyFill="1" applyAlignment="1">
      <alignment horizontal="center" vertical="center" wrapText="1"/>
    </xf>
    <xf numFmtId="3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7" fillId="0" borderId="0" xfId="0" applyFont="1"/>
    <xf numFmtId="3" fontId="7" fillId="0" borderId="0" xfId="0" applyNumberFormat="1" applyFont="1"/>
    <xf numFmtId="2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6" fontId="1" fillId="0" borderId="0" xfId="1" applyNumberFormat="1"/>
    <xf numFmtId="166" fontId="8" fillId="0" borderId="0" xfId="1" applyNumberFormat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2" width="12" customWidth="1"/>
  </cols>
  <sheetData>
    <row r="1" spans="1:2" ht="15" customHeight="1" x14ac:dyDescent="0.2">
      <c r="A1" s="1" t="s">
        <v>0</v>
      </c>
    </row>
    <row r="3" spans="1:2" ht="15" customHeight="1" x14ac:dyDescent="0.2">
      <c r="A3" s="2" t="s">
        <v>1</v>
      </c>
      <c r="B3" s="3">
        <v>23</v>
      </c>
    </row>
    <row r="4" spans="1:2" ht="15" customHeight="1" x14ac:dyDescent="0.2">
      <c r="A4" s="2" t="s">
        <v>2</v>
      </c>
      <c r="B4" s="3">
        <v>8</v>
      </c>
    </row>
    <row r="5" spans="1:2" ht="15" customHeight="1" x14ac:dyDescent="0.2">
      <c r="A5" s="2" t="s">
        <v>3</v>
      </c>
      <c r="B5" s="2">
        <f>B3*B4</f>
        <v>184</v>
      </c>
    </row>
    <row r="7" spans="1:2" ht="15" customHeight="1" x14ac:dyDescent="0.2">
      <c r="A7" s="4" t="s">
        <v>4</v>
      </c>
    </row>
    <row r="8" spans="1:2" ht="15" customHeight="1" x14ac:dyDescent="0.2">
      <c r="A8" s="4" t="s">
        <v>5</v>
      </c>
    </row>
    <row r="9" spans="1:2" x14ac:dyDescent="0.2">
      <c r="A9" s="4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"/>
  <sheetViews>
    <sheetView tabSelected="1" zoomScale="62" zoomScaleNormal="10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W3" sqref="W3:W40"/>
    </sheetView>
  </sheetViews>
  <sheetFormatPr baseColWidth="10" defaultColWidth="8.6640625" defaultRowHeight="15" x14ac:dyDescent="0.2"/>
  <cols>
    <col min="1" max="1" width="30" customWidth="1"/>
    <col min="2" max="21" width="14" customWidth="1"/>
    <col min="22" max="22" width="14.33203125" customWidth="1"/>
    <col min="23" max="23" width="13.1640625" customWidth="1"/>
  </cols>
  <sheetData>
    <row r="1" spans="1:23" ht="54" customHeight="1" x14ac:dyDescent="0.2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66</v>
      </c>
      <c r="W1" s="5" t="s">
        <v>67</v>
      </c>
    </row>
    <row r="2" spans="1:23" ht="15" customHeight="1" x14ac:dyDescent="0.2">
      <c r="A2" s="2" t="s">
        <v>28</v>
      </c>
      <c r="B2" s="6">
        <v>5276</v>
      </c>
      <c r="C2" s="7">
        <f>B2/Assumptions!$B$5</f>
        <v>28.673913043478262</v>
      </c>
      <c r="D2" s="6">
        <v>1666621</v>
      </c>
      <c r="E2" s="6">
        <v>806999885</v>
      </c>
      <c r="F2" s="6">
        <v>4467725</v>
      </c>
      <c r="G2" s="6">
        <v>31746286</v>
      </c>
      <c r="H2" s="6">
        <f t="shared" ref="H2:H38" si="0">D2+F2+G2</f>
        <v>37880632</v>
      </c>
      <c r="I2" s="6">
        <f t="shared" ref="I2:I38" si="1">E2+H2</f>
        <v>844880517</v>
      </c>
      <c r="J2" s="8">
        <f t="shared" ref="J2:J39" si="2">IF(I2=0,0,H2/I2)</f>
        <v>4.4835490034148814E-2</v>
      </c>
      <c r="K2" s="6">
        <v>0</v>
      </c>
      <c r="L2" s="6">
        <v>0</v>
      </c>
      <c r="M2" s="6">
        <v>212</v>
      </c>
      <c r="N2" s="6">
        <v>0</v>
      </c>
      <c r="O2" s="6">
        <v>0</v>
      </c>
      <c r="P2" s="6">
        <f t="shared" ref="P2:P38" si="3">K2+M2+N2</f>
        <v>212</v>
      </c>
      <c r="Q2" s="8">
        <f t="shared" ref="Q2:Q39" si="4">IF(B2=0,0,P2/B2)</f>
        <v>4.0181956027293401E-2</v>
      </c>
      <c r="R2" s="6">
        <v>11</v>
      </c>
      <c r="S2" s="6">
        <v>1379</v>
      </c>
      <c r="T2" s="6">
        <v>6</v>
      </c>
      <c r="U2" s="9">
        <f>S2/Assumptions!$B$4</f>
        <v>172.375</v>
      </c>
      <c r="V2" s="15">
        <f>I2/23</f>
        <v>36733935.521739133</v>
      </c>
      <c r="W2" s="17">
        <f>S2/(8*60)</f>
        <v>2.8729166666666668</v>
      </c>
    </row>
    <row r="3" spans="1:23" ht="15" customHeight="1" x14ac:dyDescent="0.2">
      <c r="A3" s="2" t="s">
        <v>29</v>
      </c>
      <c r="B3" s="6">
        <v>3599</v>
      </c>
      <c r="C3" s="7">
        <f>B3/Assumptions!$B$5</f>
        <v>19.559782608695652</v>
      </c>
      <c r="D3" s="6">
        <v>387088</v>
      </c>
      <c r="E3" s="6">
        <v>998207981</v>
      </c>
      <c r="F3" s="6">
        <v>2639137</v>
      </c>
      <c r="G3" s="6">
        <v>28000325</v>
      </c>
      <c r="H3" s="6">
        <f t="shared" si="0"/>
        <v>31026550</v>
      </c>
      <c r="I3" s="6">
        <f t="shared" si="1"/>
        <v>1029234531</v>
      </c>
      <c r="J3" s="8">
        <f t="shared" si="2"/>
        <v>3.0145267250074416E-2</v>
      </c>
      <c r="K3" s="6">
        <v>16</v>
      </c>
      <c r="L3" s="6">
        <v>32</v>
      </c>
      <c r="M3" s="6">
        <v>131</v>
      </c>
      <c r="N3" s="6">
        <v>1</v>
      </c>
      <c r="O3" s="6">
        <v>12</v>
      </c>
      <c r="P3" s="6">
        <f t="shared" si="3"/>
        <v>148</v>
      </c>
      <c r="Q3" s="8">
        <f t="shared" si="4"/>
        <v>4.1122534037232567E-2</v>
      </c>
      <c r="R3" s="6">
        <v>25</v>
      </c>
      <c r="S3" s="6">
        <v>352</v>
      </c>
      <c r="T3" s="6">
        <v>1</v>
      </c>
      <c r="U3" s="9">
        <f>S3/Assumptions!$B$4</f>
        <v>44</v>
      </c>
      <c r="V3" s="15">
        <f t="shared" ref="V3:V39" si="5">I3/23</f>
        <v>44749327.434782609</v>
      </c>
      <c r="W3" s="17">
        <f t="shared" ref="W3:W39" si="6">S3/(8*60)</f>
        <v>0.73333333333333328</v>
      </c>
    </row>
    <row r="4" spans="1:23" ht="15" customHeight="1" x14ac:dyDescent="0.2">
      <c r="A4" s="2" t="s">
        <v>30</v>
      </c>
      <c r="B4" s="6">
        <v>3490</v>
      </c>
      <c r="C4" s="7">
        <f>B4/Assumptions!$B$5</f>
        <v>18.967391304347824</v>
      </c>
      <c r="D4" s="6">
        <v>468488</v>
      </c>
      <c r="E4" s="6">
        <v>1345745158</v>
      </c>
      <c r="F4" s="6">
        <v>9826646</v>
      </c>
      <c r="G4" s="6">
        <v>44967973</v>
      </c>
      <c r="H4" s="6">
        <f t="shared" si="0"/>
        <v>55263107</v>
      </c>
      <c r="I4" s="6">
        <f t="shared" si="1"/>
        <v>1401008265</v>
      </c>
      <c r="J4" s="8">
        <f t="shared" si="2"/>
        <v>3.9445239818053465E-2</v>
      </c>
      <c r="K4" s="6">
        <v>26</v>
      </c>
      <c r="L4" s="6">
        <v>169</v>
      </c>
      <c r="M4" s="6">
        <v>103</v>
      </c>
      <c r="N4" s="6">
        <v>0</v>
      </c>
      <c r="O4" s="6">
        <v>0</v>
      </c>
      <c r="P4" s="6">
        <f t="shared" si="3"/>
        <v>129</v>
      </c>
      <c r="Q4" s="8">
        <f t="shared" si="4"/>
        <v>3.6962750716332378E-2</v>
      </c>
      <c r="R4" s="6">
        <v>22</v>
      </c>
      <c r="S4" s="6">
        <v>412</v>
      </c>
      <c r="T4" s="6">
        <v>10</v>
      </c>
      <c r="U4" s="9">
        <f>S4/Assumptions!$B$4</f>
        <v>51.5</v>
      </c>
      <c r="V4" s="15">
        <f t="shared" si="5"/>
        <v>60913402.826086953</v>
      </c>
      <c r="W4" s="17">
        <f t="shared" si="6"/>
        <v>0.85833333333333328</v>
      </c>
    </row>
    <row r="5" spans="1:23" ht="15" customHeight="1" x14ac:dyDescent="0.2">
      <c r="A5" s="2" t="s">
        <v>31</v>
      </c>
      <c r="B5" s="6">
        <v>3010</v>
      </c>
      <c r="C5" s="7">
        <f>B5/Assumptions!$B$5</f>
        <v>16.358695652173914</v>
      </c>
      <c r="D5" s="6">
        <v>1362545</v>
      </c>
      <c r="E5" s="6">
        <v>486934435</v>
      </c>
      <c r="F5" s="6">
        <v>1142000</v>
      </c>
      <c r="G5" s="6">
        <v>17682749</v>
      </c>
      <c r="H5" s="6">
        <f t="shared" si="0"/>
        <v>20187294</v>
      </c>
      <c r="I5" s="6">
        <f t="shared" si="1"/>
        <v>507121729</v>
      </c>
      <c r="J5" s="8">
        <f t="shared" si="2"/>
        <v>3.980759026004977E-2</v>
      </c>
      <c r="K5" s="6">
        <v>0</v>
      </c>
      <c r="L5" s="6">
        <v>0</v>
      </c>
      <c r="M5" s="6">
        <v>191</v>
      </c>
      <c r="N5" s="6">
        <v>0</v>
      </c>
      <c r="O5" s="6">
        <v>0</v>
      </c>
      <c r="P5" s="6">
        <f t="shared" si="3"/>
        <v>191</v>
      </c>
      <c r="Q5" s="8">
        <f t="shared" si="4"/>
        <v>6.3455149501661132E-2</v>
      </c>
      <c r="R5" s="6">
        <v>18</v>
      </c>
      <c r="S5" s="6">
        <v>319</v>
      </c>
      <c r="T5" s="6">
        <v>1</v>
      </c>
      <c r="U5" s="9">
        <f>S5/Assumptions!$B$4</f>
        <v>39.875</v>
      </c>
      <c r="V5" s="15">
        <f t="shared" si="5"/>
        <v>22048770.826086957</v>
      </c>
      <c r="W5" s="17">
        <f t="shared" si="6"/>
        <v>0.6645833333333333</v>
      </c>
    </row>
    <row r="6" spans="1:23" ht="15" customHeight="1" x14ac:dyDescent="0.2">
      <c r="A6" s="2" t="s">
        <v>32</v>
      </c>
      <c r="B6" s="6">
        <v>2994</v>
      </c>
      <c r="C6" s="7">
        <f>B6/Assumptions!$B$5</f>
        <v>16.271739130434781</v>
      </c>
      <c r="D6" s="6">
        <v>385917</v>
      </c>
      <c r="E6" s="6">
        <v>479364202</v>
      </c>
      <c r="F6" s="6">
        <v>47005737</v>
      </c>
      <c r="G6" s="6">
        <v>15709445</v>
      </c>
      <c r="H6" s="6">
        <f t="shared" si="0"/>
        <v>63101099</v>
      </c>
      <c r="I6" s="6">
        <f t="shared" si="1"/>
        <v>542465301</v>
      </c>
      <c r="J6" s="8">
        <f t="shared" si="2"/>
        <v>0.11632283002005321</v>
      </c>
      <c r="K6" s="6">
        <v>4</v>
      </c>
      <c r="L6" s="6">
        <v>311</v>
      </c>
      <c r="M6" s="6">
        <v>172</v>
      </c>
      <c r="N6" s="6">
        <v>0</v>
      </c>
      <c r="O6" s="6">
        <v>0</v>
      </c>
      <c r="P6" s="6">
        <f t="shared" si="3"/>
        <v>176</v>
      </c>
      <c r="Q6" s="8">
        <f t="shared" si="4"/>
        <v>5.8784235136940546E-2</v>
      </c>
      <c r="R6" s="6">
        <v>13</v>
      </c>
      <c r="S6" s="6">
        <v>684</v>
      </c>
      <c r="T6" s="6">
        <v>1</v>
      </c>
      <c r="U6" s="9">
        <f>S6/Assumptions!$B$4</f>
        <v>85.5</v>
      </c>
      <c r="V6" s="15">
        <f t="shared" si="5"/>
        <v>23585447.869565219</v>
      </c>
      <c r="W6" s="17">
        <f t="shared" si="6"/>
        <v>1.425</v>
      </c>
    </row>
    <row r="7" spans="1:23" ht="15" customHeight="1" x14ac:dyDescent="0.2">
      <c r="A7" s="2" t="s">
        <v>33</v>
      </c>
      <c r="B7" s="6">
        <v>2010</v>
      </c>
      <c r="C7" s="7">
        <f>B7/Assumptions!$B$5</f>
        <v>10.923913043478262</v>
      </c>
      <c r="D7" s="6">
        <v>239327</v>
      </c>
      <c r="E7" s="6">
        <v>195663888</v>
      </c>
      <c r="F7" s="6">
        <v>2151345</v>
      </c>
      <c r="G7" s="6">
        <v>7348255</v>
      </c>
      <c r="H7" s="6">
        <f t="shared" si="0"/>
        <v>9738927</v>
      </c>
      <c r="I7" s="6">
        <f t="shared" si="1"/>
        <v>205402815</v>
      </c>
      <c r="J7" s="8">
        <f t="shared" si="2"/>
        <v>4.7413795180947252E-2</v>
      </c>
      <c r="K7" s="6">
        <v>0</v>
      </c>
      <c r="L7" s="6">
        <v>0</v>
      </c>
      <c r="M7" s="6">
        <v>67</v>
      </c>
      <c r="N7" s="6">
        <v>0</v>
      </c>
      <c r="O7" s="6">
        <v>0</v>
      </c>
      <c r="P7" s="6">
        <f t="shared" si="3"/>
        <v>67</v>
      </c>
      <c r="Q7" s="8">
        <f t="shared" si="4"/>
        <v>3.3333333333333333E-2</v>
      </c>
      <c r="R7" s="6">
        <v>9</v>
      </c>
      <c r="S7" s="6">
        <v>461</v>
      </c>
      <c r="T7" s="6">
        <v>3</v>
      </c>
      <c r="U7" s="9">
        <f>S7/Assumptions!$B$4</f>
        <v>57.625</v>
      </c>
      <c r="V7" s="15">
        <f t="shared" si="5"/>
        <v>8930557.173913043</v>
      </c>
      <c r="W7" s="17">
        <f t="shared" si="6"/>
        <v>0.9604166666666667</v>
      </c>
    </row>
    <row r="8" spans="1:23" ht="15" customHeight="1" x14ac:dyDescent="0.2">
      <c r="A8" s="2" t="s">
        <v>34</v>
      </c>
      <c r="B8" s="6">
        <v>1928</v>
      </c>
      <c r="C8" s="7">
        <f>B8/Assumptions!$B$5</f>
        <v>10.478260869565217</v>
      </c>
      <c r="D8" s="6">
        <v>527052</v>
      </c>
      <c r="E8" s="6">
        <v>232964280</v>
      </c>
      <c r="F8" s="6">
        <v>965260</v>
      </c>
      <c r="G8" s="6">
        <v>10744672</v>
      </c>
      <c r="H8" s="6">
        <f t="shared" si="0"/>
        <v>12236984</v>
      </c>
      <c r="I8" s="6">
        <f t="shared" si="1"/>
        <v>245201264</v>
      </c>
      <c r="J8" s="8">
        <f t="shared" si="2"/>
        <v>4.9905876504780171E-2</v>
      </c>
      <c r="K8" s="6">
        <v>1</v>
      </c>
      <c r="L8" s="6">
        <v>5</v>
      </c>
      <c r="M8" s="6">
        <v>172</v>
      </c>
      <c r="N8" s="6">
        <v>0</v>
      </c>
      <c r="O8" s="6">
        <v>0</v>
      </c>
      <c r="P8" s="6">
        <f t="shared" si="3"/>
        <v>173</v>
      </c>
      <c r="Q8" s="8">
        <f t="shared" si="4"/>
        <v>8.9730290456431536E-2</v>
      </c>
      <c r="R8" s="6">
        <v>20</v>
      </c>
      <c r="S8" s="6">
        <v>258</v>
      </c>
      <c r="T8" s="6">
        <v>1</v>
      </c>
      <c r="U8" s="9">
        <f>S8/Assumptions!$B$4</f>
        <v>32.25</v>
      </c>
      <c r="V8" s="15">
        <f t="shared" si="5"/>
        <v>10660924.521739131</v>
      </c>
      <c r="W8" s="17">
        <f t="shared" si="6"/>
        <v>0.53749999999999998</v>
      </c>
    </row>
    <row r="9" spans="1:23" ht="15" customHeight="1" x14ac:dyDescent="0.2">
      <c r="A9" s="2" t="s">
        <v>35</v>
      </c>
      <c r="B9" s="6">
        <v>1855</v>
      </c>
      <c r="C9" s="7">
        <f>B9/Assumptions!$B$5</f>
        <v>10.081521739130435</v>
      </c>
      <c r="D9" s="6">
        <v>357876</v>
      </c>
      <c r="E9" s="6">
        <v>154109618</v>
      </c>
      <c r="F9" s="6">
        <v>4351880</v>
      </c>
      <c r="G9" s="6">
        <v>7653152</v>
      </c>
      <c r="H9" s="6">
        <f t="shared" si="0"/>
        <v>12362908</v>
      </c>
      <c r="I9" s="6">
        <f t="shared" si="1"/>
        <v>166472526</v>
      </c>
      <c r="J9" s="8">
        <f t="shared" si="2"/>
        <v>7.4263953921141324E-2</v>
      </c>
      <c r="K9" s="6">
        <v>97</v>
      </c>
      <c r="L9" s="6">
        <v>306</v>
      </c>
      <c r="M9" s="6">
        <v>155</v>
      </c>
      <c r="N9" s="6">
        <v>0</v>
      </c>
      <c r="O9" s="6">
        <v>0</v>
      </c>
      <c r="P9" s="6">
        <f t="shared" si="3"/>
        <v>252</v>
      </c>
      <c r="Q9" s="8">
        <f t="shared" si="4"/>
        <v>0.13584905660377358</v>
      </c>
      <c r="R9" s="6">
        <v>24</v>
      </c>
      <c r="S9" s="6">
        <v>187</v>
      </c>
      <c r="T9" s="6">
        <v>9</v>
      </c>
      <c r="U9" s="9">
        <f>S9/Assumptions!$B$4</f>
        <v>23.375</v>
      </c>
      <c r="V9" s="15">
        <f t="shared" si="5"/>
        <v>7237935.9130434785</v>
      </c>
      <c r="W9" s="17">
        <f t="shared" si="6"/>
        <v>0.38958333333333334</v>
      </c>
    </row>
    <row r="10" spans="1:23" ht="15" customHeight="1" x14ac:dyDescent="0.2">
      <c r="A10" s="2" t="s">
        <v>36</v>
      </c>
      <c r="B10" s="6">
        <v>1481</v>
      </c>
      <c r="C10" s="7">
        <f>B10/Assumptions!$B$5</f>
        <v>8.0489130434782616</v>
      </c>
      <c r="D10" s="6">
        <v>412584</v>
      </c>
      <c r="E10" s="6">
        <v>209003329</v>
      </c>
      <c r="F10" s="6">
        <v>2217426</v>
      </c>
      <c r="G10" s="6">
        <v>8501848</v>
      </c>
      <c r="H10" s="6">
        <f t="shared" si="0"/>
        <v>11131858</v>
      </c>
      <c r="I10" s="6">
        <f t="shared" si="1"/>
        <v>220135187</v>
      </c>
      <c r="J10" s="8">
        <f t="shared" si="2"/>
        <v>5.0568281026331333E-2</v>
      </c>
      <c r="K10" s="6">
        <v>10</v>
      </c>
      <c r="L10" s="6">
        <v>19</v>
      </c>
      <c r="M10" s="6">
        <v>62</v>
      </c>
      <c r="N10" s="6">
        <v>0</v>
      </c>
      <c r="O10" s="6">
        <v>0</v>
      </c>
      <c r="P10" s="6">
        <f t="shared" si="3"/>
        <v>72</v>
      </c>
      <c r="Q10" s="8">
        <f t="shared" si="4"/>
        <v>4.8615800135043886E-2</v>
      </c>
      <c r="R10" s="6">
        <v>15</v>
      </c>
      <c r="S10" s="6">
        <v>342</v>
      </c>
      <c r="T10" s="6">
        <v>1</v>
      </c>
      <c r="U10" s="9">
        <f>S10/Assumptions!$B$4</f>
        <v>42.75</v>
      </c>
      <c r="V10" s="15">
        <f t="shared" si="5"/>
        <v>9571095.0869565215</v>
      </c>
      <c r="W10" s="17">
        <f t="shared" si="6"/>
        <v>0.71250000000000002</v>
      </c>
    </row>
    <row r="11" spans="1:23" ht="15" customHeight="1" x14ac:dyDescent="0.2">
      <c r="A11" s="2" t="s">
        <v>37</v>
      </c>
      <c r="B11" s="6">
        <v>1193</v>
      </c>
      <c r="C11" s="7">
        <f>B11/Assumptions!$B$5</f>
        <v>6.4836956521739131</v>
      </c>
      <c r="D11" s="6">
        <v>160298</v>
      </c>
      <c r="E11" s="6">
        <v>255026565</v>
      </c>
      <c r="F11" s="6">
        <v>309140</v>
      </c>
      <c r="G11" s="6">
        <v>3881408</v>
      </c>
      <c r="H11" s="6">
        <f t="shared" si="0"/>
        <v>4350846</v>
      </c>
      <c r="I11" s="6">
        <f t="shared" si="1"/>
        <v>259377411</v>
      </c>
      <c r="J11" s="8">
        <f t="shared" si="2"/>
        <v>1.6774190100925943E-2</v>
      </c>
      <c r="K11" s="6">
        <v>0</v>
      </c>
      <c r="L11" s="6">
        <v>0</v>
      </c>
      <c r="M11" s="6">
        <v>39</v>
      </c>
      <c r="N11" s="6">
        <v>0</v>
      </c>
      <c r="O11" s="6">
        <v>0</v>
      </c>
      <c r="P11" s="6">
        <f t="shared" si="3"/>
        <v>39</v>
      </c>
      <c r="Q11" s="8">
        <f t="shared" si="4"/>
        <v>3.269069572506287E-2</v>
      </c>
      <c r="R11" s="6">
        <v>3</v>
      </c>
      <c r="S11" s="6">
        <v>761</v>
      </c>
      <c r="T11" s="6">
        <v>45</v>
      </c>
      <c r="U11" s="9">
        <f>S11/Assumptions!$B$4</f>
        <v>95.125</v>
      </c>
      <c r="V11" s="15">
        <f t="shared" si="5"/>
        <v>11277278.739130436</v>
      </c>
      <c r="W11" s="17">
        <f t="shared" si="6"/>
        <v>1.5854166666666667</v>
      </c>
    </row>
    <row r="12" spans="1:23" ht="15" customHeight="1" x14ac:dyDescent="0.2">
      <c r="A12" s="2" t="s">
        <v>38</v>
      </c>
      <c r="B12" s="6">
        <v>1098</v>
      </c>
      <c r="C12" s="7">
        <f>B12/Assumptions!$B$5</f>
        <v>5.9673913043478262</v>
      </c>
      <c r="D12" s="6">
        <v>212212</v>
      </c>
      <c r="E12" s="6">
        <v>147773057</v>
      </c>
      <c r="F12" s="6">
        <v>4685045</v>
      </c>
      <c r="G12" s="6">
        <v>5244508</v>
      </c>
      <c r="H12" s="6">
        <f t="shared" si="0"/>
        <v>10141765</v>
      </c>
      <c r="I12" s="6">
        <f t="shared" si="1"/>
        <v>157914822</v>
      </c>
      <c r="J12" s="8">
        <f t="shared" si="2"/>
        <v>6.4223008781278304E-2</v>
      </c>
      <c r="K12" s="6">
        <v>13</v>
      </c>
      <c r="L12" s="6">
        <v>234</v>
      </c>
      <c r="M12" s="6">
        <v>52</v>
      </c>
      <c r="N12" s="6">
        <v>0</v>
      </c>
      <c r="O12" s="6">
        <v>0</v>
      </c>
      <c r="P12" s="6">
        <f t="shared" si="3"/>
        <v>65</v>
      </c>
      <c r="Q12" s="8">
        <f t="shared" si="4"/>
        <v>5.9198542805100181E-2</v>
      </c>
      <c r="R12" s="6">
        <v>11</v>
      </c>
      <c r="S12" s="6">
        <v>371</v>
      </c>
      <c r="T12" s="6">
        <v>4</v>
      </c>
      <c r="U12" s="9">
        <f>S12/Assumptions!$B$4</f>
        <v>46.375</v>
      </c>
      <c r="V12" s="15">
        <f t="shared" si="5"/>
        <v>6865861.8260869561</v>
      </c>
      <c r="W12" s="17">
        <f t="shared" si="6"/>
        <v>0.7729166666666667</v>
      </c>
    </row>
    <row r="13" spans="1:23" ht="15" customHeight="1" x14ac:dyDescent="0.2">
      <c r="A13" s="2" t="s">
        <v>39</v>
      </c>
      <c r="B13" s="6">
        <v>1087</v>
      </c>
      <c r="C13" s="7">
        <f>B13/Assumptions!$B$5</f>
        <v>5.9076086956521738</v>
      </c>
      <c r="D13" s="6">
        <v>131813</v>
      </c>
      <c r="E13" s="6">
        <v>163770330</v>
      </c>
      <c r="F13" s="6">
        <v>117846</v>
      </c>
      <c r="G13" s="6">
        <v>9054675</v>
      </c>
      <c r="H13" s="6">
        <f t="shared" si="0"/>
        <v>9304334</v>
      </c>
      <c r="I13" s="6">
        <f t="shared" si="1"/>
        <v>173074664</v>
      </c>
      <c r="J13" s="8">
        <f t="shared" si="2"/>
        <v>5.375907590957392E-2</v>
      </c>
      <c r="K13" s="6">
        <v>0</v>
      </c>
      <c r="L13" s="6">
        <v>0</v>
      </c>
      <c r="M13" s="6">
        <v>57</v>
      </c>
      <c r="N13" s="6">
        <v>0</v>
      </c>
      <c r="O13" s="6">
        <v>0</v>
      </c>
      <c r="P13" s="6">
        <f t="shared" si="3"/>
        <v>57</v>
      </c>
      <c r="Q13" s="8">
        <f t="shared" si="4"/>
        <v>5.2437902483900643E-2</v>
      </c>
      <c r="R13" s="6">
        <v>14</v>
      </c>
      <c r="S13" s="6">
        <v>232</v>
      </c>
      <c r="T13" s="6">
        <v>3</v>
      </c>
      <c r="U13" s="9">
        <f>S13/Assumptions!$B$4</f>
        <v>29</v>
      </c>
      <c r="V13" s="15">
        <f t="shared" si="5"/>
        <v>7524985.3913043477</v>
      </c>
      <c r="W13" s="17">
        <f t="shared" si="6"/>
        <v>0.48333333333333334</v>
      </c>
    </row>
    <row r="14" spans="1:23" ht="15" customHeight="1" x14ac:dyDescent="0.2">
      <c r="A14" s="2" t="s">
        <v>40</v>
      </c>
      <c r="B14" s="6">
        <v>1083</v>
      </c>
      <c r="C14" s="7">
        <f>B14/Assumptions!$B$5</f>
        <v>5.8858695652173916</v>
      </c>
      <c r="D14" s="6">
        <v>432889</v>
      </c>
      <c r="E14" s="6">
        <v>356881911</v>
      </c>
      <c r="F14" s="6">
        <v>1921402</v>
      </c>
      <c r="G14" s="6">
        <v>24601681</v>
      </c>
      <c r="H14" s="6">
        <f t="shared" si="0"/>
        <v>26955972</v>
      </c>
      <c r="I14" s="6">
        <f t="shared" si="1"/>
        <v>383837883</v>
      </c>
      <c r="J14" s="8">
        <f t="shared" si="2"/>
        <v>7.0227492370783004E-2</v>
      </c>
      <c r="K14" s="6">
        <v>0</v>
      </c>
      <c r="L14" s="6">
        <v>0</v>
      </c>
      <c r="M14" s="6">
        <v>54</v>
      </c>
      <c r="N14" s="6">
        <v>0</v>
      </c>
      <c r="O14" s="6">
        <v>0</v>
      </c>
      <c r="P14" s="6">
        <f t="shared" si="3"/>
        <v>54</v>
      </c>
      <c r="Q14" s="8">
        <f t="shared" si="4"/>
        <v>4.9861495844875349E-2</v>
      </c>
      <c r="R14" s="6">
        <v>10</v>
      </c>
      <c r="S14" s="6">
        <v>286</v>
      </c>
      <c r="T14" s="6">
        <v>3</v>
      </c>
      <c r="U14" s="9">
        <f>S14/Assumptions!$B$4</f>
        <v>35.75</v>
      </c>
      <c r="V14" s="15">
        <f t="shared" si="5"/>
        <v>16688603.608695652</v>
      </c>
      <c r="W14" s="17">
        <f t="shared" si="6"/>
        <v>0.59583333333333333</v>
      </c>
    </row>
    <row r="15" spans="1:23" ht="15" customHeight="1" x14ac:dyDescent="0.2">
      <c r="A15" s="2" t="s">
        <v>41</v>
      </c>
      <c r="B15" s="6">
        <v>959</v>
      </c>
      <c r="C15" s="7">
        <f>B15/Assumptions!$B$5</f>
        <v>5.2119565217391308</v>
      </c>
      <c r="D15" s="6">
        <v>5751</v>
      </c>
      <c r="E15" s="6">
        <v>222651416</v>
      </c>
      <c r="F15" s="6">
        <v>35343940</v>
      </c>
      <c r="G15" s="6">
        <v>0</v>
      </c>
      <c r="H15" s="6">
        <f t="shared" si="0"/>
        <v>35349691</v>
      </c>
      <c r="I15" s="6">
        <f t="shared" si="1"/>
        <v>258001107</v>
      </c>
      <c r="J15" s="8">
        <f t="shared" si="2"/>
        <v>0.13701371831710785</v>
      </c>
      <c r="K15" s="6">
        <v>5</v>
      </c>
      <c r="L15" s="6">
        <v>858</v>
      </c>
      <c r="M15" s="6">
        <v>0</v>
      </c>
      <c r="N15" s="6">
        <v>0</v>
      </c>
      <c r="O15" s="6">
        <v>0</v>
      </c>
      <c r="P15" s="6">
        <f t="shared" si="3"/>
        <v>5</v>
      </c>
      <c r="Q15" s="8">
        <f t="shared" si="4"/>
        <v>5.2137643378519288E-3</v>
      </c>
      <c r="R15" s="6">
        <v>12</v>
      </c>
      <c r="S15" s="6">
        <v>192</v>
      </c>
      <c r="T15" s="6">
        <v>2</v>
      </c>
      <c r="U15" s="9">
        <f>S15/Assumptions!$B$4</f>
        <v>24</v>
      </c>
      <c r="V15" s="15">
        <f t="shared" si="5"/>
        <v>11217439.434782609</v>
      </c>
      <c r="W15" s="17">
        <f t="shared" si="6"/>
        <v>0.4</v>
      </c>
    </row>
    <row r="16" spans="1:23" ht="15" customHeight="1" x14ac:dyDescent="0.2">
      <c r="A16" s="2" t="s">
        <v>42</v>
      </c>
      <c r="B16" s="6">
        <v>948</v>
      </c>
      <c r="C16" s="7">
        <f>B16/Assumptions!$B$5</f>
        <v>5.1521739130434785</v>
      </c>
      <c r="D16" s="6">
        <v>41813</v>
      </c>
      <c r="E16" s="6">
        <v>91501472</v>
      </c>
      <c r="F16" s="6">
        <v>18088556</v>
      </c>
      <c r="G16" s="6">
        <v>2301606</v>
      </c>
      <c r="H16" s="6">
        <f t="shared" si="0"/>
        <v>20431975</v>
      </c>
      <c r="I16" s="6">
        <f t="shared" si="1"/>
        <v>111933447</v>
      </c>
      <c r="J16" s="8">
        <f t="shared" si="2"/>
        <v>0.18253681582771233</v>
      </c>
      <c r="K16" s="6">
        <v>19</v>
      </c>
      <c r="L16" s="6">
        <v>704</v>
      </c>
      <c r="M16" s="6">
        <v>26</v>
      </c>
      <c r="N16" s="6">
        <v>0</v>
      </c>
      <c r="O16" s="6">
        <v>0</v>
      </c>
      <c r="P16" s="6">
        <f t="shared" si="3"/>
        <v>45</v>
      </c>
      <c r="Q16" s="8">
        <f t="shared" si="4"/>
        <v>4.746835443037975E-2</v>
      </c>
      <c r="R16" s="6">
        <v>24</v>
      </c>
      <c r="S16" s="6">
        <v>102</v>
      </c>
      <c r="T16" s="6">
        <v>5</v>
      </c>
      <c r="U16" s="9">
        <f>S16/Assumptions!$B$4</f>
        <v>12.75</v>
      </c>
      <c r="V16" s="15">
        <f t="shared" si="5"/>
        <v>4866671.6086956523</v>
      </c>
      <c r="W16" s="17">
        <f t="shared" si="6"/>
        <v>0.21249999999999999</v>
      </c>
    </row>
    <row r="17" spans="1:23" ht="15" customHeight="1" x14ac:dyDescent="0.2">
      <c r="A17" s="2" t="s">
        <v>43</v>
      </c>
      <c r="B17" s="6">
        <v>807</v>
      </c>
      <c r="C17" s="7">
        <f>B17/Assumptions!$B$5</f>
        <v>4.3858695652173916</v>
      </c>
      <c r="D17" s="6">
        <v>190227</v>
      </c>
      <c r="E17" s="6">
        <v>139558987</v>
      </c>
      <c r="F17" s="6">
        <v>641025</v>
      </c>
      <c r="G17" s="6">
        <v>3322700</v>
      </c>
      <c r="H17" s="6">
        <f t="shared" si="0"/>
        <v>4153952</v>
      </c>
      <c r="I17" s="6">
        <f t="shared" si="1"/>
        <v>143712939</v>
      </c>
      <c r="J17" s="8">
        <f t="shared" si="2"/>
        <v>2.8904509426252844E-2</v>
      </c>
      <c r="K17" s="6">
        <v>2</v>
      </c>
      <c r="L17" s="6">
        <v>36</v>
      </c>
      <c r="M17" s="6">
        <v>35</v>
      </c>
      <c r="N17" s="6">
        <v>0</v>
      </c>
      <c r="O17" s="6">
        <v>0</v>
      </c>
      <c r="P17" s="6">
        <f t="shared" si="3"/>
        <v>37</v>
      </c>
      <c r="Q17" s="8">
        <f t="shared" si="4"/>
        <v>4.584882280049566E-2</v>
      </c>
      <c r="R17" s="6">
        <v>7</v>
      </c>
      <c r="S17" s="6">
        <v>290</v>
      </c>
      <c r="T17" s="6">
        <v>1</v>
      </c>
      <c r="U17" s="9">
        <f>S17/Assumptions!$B$4</f>
        <v>36.25</v>
      </c>
      <c r="V17" s="15">
        <f t="shared" si="5"/>
        <v>6248388.6521739131</v>
      </c>
      <c r="W17" s="17">
        <f t="shared" si="6"/>
        <v>0.60416666666666663</v>
      </c>
    </row>
    <row r="18" spans="1:23" ht="15" customHeight="1" x14ac:dyDescent="0.2">
      <c r="A18" s="2" t="s">
        <v>44</v>
      </c>
      <c r="B18" s="6">
        <v>659</v>
      </c>
      <c r="C18" s="7">
        <f>B18/Assumptions!$B$5</f>
        <v>3.5815217391304346</v>
      </c>
      <c r="D18" s="6">
        <v>93693</v>
      </c>
      <c r="E18" s="6">
        <v>96544101</v>
      </c>
      <c r="F18" s="6">
        <v>1000831</v>
      </c>
      <c r="G18" s="6">
        <v>2494361</v>
      </c>
      <c r="H18" s="6">
        <f t="shared" si="0"/>
        <v>3588885</v>
      </c>
      <c r="I18" s="6">
        <f t="shared" si="1"/>
        <v>100132986</v>
      </c>
      <c r="J18" s="8">
        <f t="shared" si="2"/>
        <v>3.5841186240066783E-2</v>
      </c>
      <c r="K18" s="6">
        <v>2</v>
      </c>
      <c r="L18" s="6">
        <v>101</v>
      </c>
      <c r="M18" s="6">
        <v>23</v>
      </c>
      <c r="N18" s="6">
        <v>0</v>
      </c>
      <c r="O18" s="6">
        <v>0</v>
      </c>
      <c r="P18" s="6">
        <f t="shared" si="3"/>
        <v>25</v>
      </c>
      <c r="Q18" s="8">
        <f t="shared" si="4"/>
        <v>3.7936267071320182E-2</v>
      </c>
      <c r="R18" s="6">
        <v>5</v>
      </c>
      <c r="S18" s="6">
        <v>404</v>
      </c>
      <c r="T18" s="6">
        <v>15</v>
      </c>
      <c r="U18" s="9">
        <f>S18/Assumptions!$B$4</f>
        <v>50.5</v>
      </c>
      <c r="V18" s="15">
        <f t="shared" si="5"/>
        <v>4353608.0869565215</v>
      </c>
      <c r="W18" s="17">
        <f t="shared" si="6"/>
        <v>0.84166666666666667</v>
      </c>
    </row>
    <row r="19" spans="1:23" ht="15" customHeight="1" x14ac:dyDescent="0.2">
      <c r="A19" s="2" t="s">
        <v>45</v>
      </c>
      <c r="B19" s="6">
        <v>572</v>
      </c>
      <c r="C19" s="7">
        <f>B19/Assumptions!$B$5</f>
        <v>3.1086956521739131</v>
      </c>
      <c r="D19" s="6">
        <v>162373</v>
      </c>
      <c r="E19" s="6">
        <v>154291723</v>
      </c>
      <c r="F19" s="6">
        <v>620108</v>
      </c>
      <c r="G19" s="6">
        <v>11154722</v>
      </c>
      <c r="H19" s="6">
        <f t="shared" si="0"/>
        <v>11937203</v>
      </c>
      <c r="I19" s="6">
        <f t="shared" si="1"/>
        <v>166228926</v>
      </c>
      <c r="J19" s="8">
        <f t="shared" si="2"/>
        <v>7.1811827744107548E-2</v>
      </c>
      <c r="K19" s="6">
        <v>7</v>
      </c>
      <c r="L19" s="6">
        <v>40</v>
      </c>
      <c r="M19" s="6">
        <v>25</v>
      </c>
      <c r="N19" s="6">
        <v>0</v>
      </c>
      <c r="O19" s="6">
        <v>0</v>
      </c>
      <c r="P19" s="6">
        <f t="shared" si="3"/>
        <v>32</v>
      </c>
      <c r="Q19" s="8">
        <f t="shared" si="4"/>
        <v>5.5944055944055944E-2</v>
      </c>
      <c r="R19" s="6">
        <v>12</v>
      </c>
      <c r="S19" s="6">
        <v>381</v>
      </c>
      <c r="T19" s="6">
        <v>1</v>
      </c>
      <c r="U19" s="9">
        <f>S19/Assumptions!$B$4</f>
        <v>47.625</v>
      </c>
      <c r="V19" s="15">
        <f t="shared" si="5"/>
        <v>7227344.6086956523</v>
      </c>
      <c r="W19" s="17">
        <f t="shared" si="6"/>
        <v>0.79374999999999996</v>
      </c>
    </row>
    <row r="20" spans="1:23" ht="15" customHeight="1" x14ac:dyDescent="0.2">
      <c r="A20" s="2" t="s">
        <v>46</v>
      </c>
      <c r="B20" s="6">
        <v>430</v>
      </c>
      <c r="C20" s="7">
        <f>B20/Assumptions!$B$5</f>
        <v>2.3369565217391304</v>
      </c>
      <c r="D20" s="6">
        <v>18983</v>
      </c>
      <c r="E20" s="6">
        <v>48484357</v>
      </c>
      <c r="F20" s="6">
        <v>6097379</v>
      </c>
      <c r="G20" s="6">
        <v>55182</v>
      </c>
      <c r="H20" s="6">
        <f t="shared" si="0"/>
        <v>6171544</v>
      </c>
      <c r="I20" s="6">
        <f t="shared" si="1"/>
        <v>54655901</v>
      </c>
      <c r="J20" s="8">
        <f t="shared" si="2"/>
        <v>0.11291633450521656</v>
      </c>
      <c r="K20" s="6">
        <v>49</v>
      </c>
      <c r="L20" s="6">
        <v>260</v>
      </c>
      <c r="M20" s="6">
        <v>5</v>
      </c>
      <c r="N20" s="6">
        <v>0</v>
      </c>
      <c r="O20" s="6">
        <v>0</v>
      </c>
      <c r="P20" s="6">
        <f t="shared" si="3"/>
        <v>54</v>
      </c>
      <c r="Q20" s="8">
        <f t="shared" si="4"/>
        <v>0.12558139534883722</v>
      </c>
      <c r="R20" s="6">
        <v>25</v>
      </c>
      <c r="S20" s="6">
        <v>90</v>
      </c>
      <c r="T20" s="6">
        <v>1</v>
      </c>
      <c r="U20" s="9">
        <f>S20/Assumptions!$B$4</f>
        <v>11.25</v>
      </c>
      <c r="V20" s="15">
        <f t="shared" si="5"/>
        <v>2376343.5217391304</v>
      </c>
      <c r="W20" s="17">
        <f t="shared" si="6"/>
        <v>0.1875</v>
      </c>
    </row>
    <row r="21" spans="1:23" ht="15" customHeight="1" x14ac:dyDescent="0.2">
      <c r="A21" s="2" t="s">
        <v>47</v>
      </c>
      <c r="B21" s="6">
        <v>417</v>
      </c>
      <c r="C21" s="7">
        <f>B21/Assumptions!$B$5</f>
        <v>2.2663043478260869</v>
      </c>
      <c r="D21" s="6">
        <v>134788</v>
      </c>
      <c r="E21" s="6">
        <v>110782239</v>
      </c>
      <c r="F21" s="6">
        <v>41810056</v>
      </c>
      <c r="G21" s="6">
        <v>88147</v>
      </c>
      <c r="H21" s="6">
        <f t="shared" si="0"/>
        <v>42032991</v>
      </c>
      <c r="I21" s="6">
        <f t="shared" si="1"/>
        <v>152815230</v>
      </c>
      <c r="J21" s="8">
        <f t="shared" si="2"/>
        <v>0.2750576038788804</v>
      </c>
      <c r="K21" s="6">
        <v>8</v>
      </c>
      <c r="L21" s="6">
        <v>313</v>
      </c>
      <c r="M21" s="6">
        <v>6</v>
      </c>
      <c r="N21" s="6">
        <v>0</v>
      </c>
      <c r="O21" s="6">
        <v>0</v>
      </c>
      <c r="P21" s="6">
        <f t="shared" si="3"/>
        <v>14</v>
      </c>
      <c r="Q21" s="8">
        <f t="shared" si="4"/>
        <v>3.3573141486810551E-2</v>
      </c>
      <c r="R21" s="6">
        <v>12</v>
      </c>
      <c r="S21" s="6">
        <v>85</v>
      </c>
      <c r="T21" s="6">
        <v>1</v>
      </c>
      <c r="U21" s="9">
        <f>S21/Assumptions!$B$4</f>
        <v>10.625</v>
      </c>
      <c r="V21" s="15">
        <f t="shared" si="5"/>
        <v>6644140.4347826084</v>
      </c>
      <c r="W21" s="17">
        <f t="shared" si="6"/>
        <v>0.17708333333333334</v>
      </c>
    </row>
    <row r="22" spans="1:23" ht="15" customHeight="1" x14ac:dyDescent="0.2">
      <c r="A22" s="2" t="s">
        <v>48</v>
      </c>
      <c r="B22" s="6">
        <v>397</v>
      </c>
      <c r="C22" s="7">
        <f>B22/Assumptions!$B$5</f>
        <v>2.1576086956521738</v>
      </c>
      <c r="D22" s="6">
        <v>2660</v>
      </c>
      <c r="E22" s="6">
        <v>86522221</v>
      </c>
      <c r="F22" s="6">
        <v>46517174</v>
      </c>
      <c r="G22" s="6">
        <v>35060</v>
      </c>
      <c r="H22" s="6">
        <f t="shared" si="0"/>
        <v>46554894</v>
      </c>
      <c r="I22" s="6">
        <f t="shared" si="1"/>
        <v>133077115</v>
      </c>
      <c r="J22" s="8">
        <f t="shared" si="2"/>
        <v>0.3498339590544926</v>
      </c>
      <c r="K22" s="6">
        <v>3</v>
      </c>
      <c r="L22" s="6">
        <v>299</v>
      </c>
      <c r="M22" s="6">
        <v>0</v>
      </c>
      <c r="N22" s="6">
        <v>0</v>
      </c>
      <c r="O22" s="6">
        <v>0</v>
      </c>
      <c r="P22" s="6">
        <f t="shared" si="3"/>
        <v>3</v>
      </c>
      <c r="Q22" s="8">
        <f t="shared" si="4"/>
        <v>7.556675062972292E-3</v>
      </c>
      <c r="R22" s="6">
        <v>12</v>
      </c>
      <c r="S22" s="6">
        <v>55</v>
      </c>
      <c r="T22" s="6">
        <v>8</v>
      </c>
      <c r="U22" s="9">
        <f>S22/Assumptions!$B$4</f>
        <v>6.875</v>
      </c>
      <c r="V22" s="15">
        <f t="shared" si="5"/>
        <v>5785961.5217391308</v>
      </c>
      <c r="W22" s="17">
        <f t="shared" si="6"/>
        <v>0.11458333333333333</v>
      </c>
    </row>
    <row r="23" spans="1:23" ht="15" customHeight="1" x14ac:dyDescent="0.2">
      <c r="A23" s="2" t="s">
        <v>49</v>
      </c>
      <c r="B23" s="6">
        <v>326</v>
      </c>
      <c r="C23" s="7">
        <f>B23/Assumptions!$B$5</f>
        <v>1.7717391304347827</v>
      </c>
      <c r="D23" s="6">
        <v>9543</v>
      </c>
      <c r="E23" s="6">
        <v>35214149</v>
      </c>
      <c r="F23" s="6">
        <v>1980807</v>
      </c>
      <c r="G23" s="6">
        <v>1017419</v>
      </c>
      <c r="H23" s="6">
        <f t="shared" si="0"/>
        <v>3007769</v>
      </c>
      <c r="I23" s="6">
        <f t="shared" si="1"/>
        <v>38221918</v>
      </c>
      <c r="J23" s="8">
        <f t="shared" si="2"/>
        <v>7.8692257149418826E-2</v>
      </c>
      <c r="K23" s="6">
        <v>30</v>
      </c>
      <c r="L23" s="6">
        <v>89</v>
      </c>
      <c r="M23" s="6">
        <v>9</v>
      </c>
      <c r="N23" s="6">
        <v>0</v>
      </c>
      <c r="O23" s="6">
        <v>0</v>
      </c>
      <c r="P23" s="6">
        <f t="shared" si="3"/>
        <v>39</v>
      </c>
      <c r="Q23" s="8">
        <f t="shared" si="4"/>
        <v>0.1196319018404908</v>
      </c>
      <c r="R23" s="6">
        <v>19</v>
      </c>
      <c r="S23" s="6">
        <v>162</v>
      </c>
      <c r="T23" s="6">
        <v>1</v>
      </c>
      <c r="U23" s="9">
        <f>S23/Assumptions!$B$4</f>
        <v>20.25</v>
      </c>
      <c r="V23" s="15">
        <f t="shared" si="5"/>
        <v>1661822.5217391304</v>
      </c>
      <c r="W23" s="17">
        <f t="shared" si="6"/>
        <v>0.33750000000000002</v>
      </c>
    </row>
    <row r="24" spans="1:23" ht="15" customHeight="1" x14ac:dyDescent="0.2">
      <c r="A24" s="2" t="s">
        <v>50</v>
      </c>
      <c r="B24" s="6">
        <v>324</v>
      </c>
      <c r="C24" s="7">
        <f>B24/Assumptions!$B$5</f>
        <v>1.7608695652173914</v>
      </c>
      <c r="D24" s="6">
        <v>15002</v>
      </c>
      <c r="E24" s="6">
        <v>125810739</v>
      </c>
      <c r="F24" s="6">
        <v>15698850</v>
      </c>
      <c r="G24" s="6">
        <v>375315</v>
      </c>
      <c r="H24" s="6">
        <f t="shared" si="0"/>
        <v>16089167</v>
      </c>
      <c r="I24" s="6">
        <f t="shared" si="1"/>
        <v>141899906</v>
      </c>
      <c r="J24" s="8">
        <f t="shared" si="2"/>
        <v>0.11338391584276314</v>
      </c>
      <c r="K24" s="6">
        <v>10</v>
      </c>
      <c r="L24" s="6">
        <v>109</v>
      </c>
      <c r="M24" s="6">
        <v>6</v>
      </c>
      <c r="N24" s="6">
        <v>0</v>
      </c>
      <c r="O24" s="6">
        <v>0</v>
      </c>
      <c r="P24" s="6">
        <f t="shared" si="3"/>
        <v>16</v>
      </c>
      <c r="Q24" s="8">
        <f t="shared" si="4"/>
        <v>4.9382716049382713E-2</v>
      </c>
      <c r="R24" s="6">
        <v>14</v>
      </c>
      <c r="S24" s="6">
        <v>89</v>
      </c>
      <c r="T24" s="6">
        <v>1</v>
      </c>
      <c r="U24" s="9">
        <f>S24/Assumptions!$B$4</f>
        <v>11.125</v>
      </c>
      <c r="V24" s="15">
        <f t="shared" si="5"/>
        <v>6169561.1304347822</v>
      </c>
      <c r="W24" s="17">
        <f t="shared" si="6"/>
        <v>0.18541666666666667</v>
      </c>
    </row>
    <row r="25" spans="1:23" ht="15" customHeight="1" x14ac:dyDescent="0.2">
      <c r="A25" s="2" t="s">
        <v>51</v>
      </c>
      <c r="B25" s="6">
        <v>175</v>
      </c>
      <c r="C25" s="7">
        <f>B25/Assumptions!$B$5</f>
        <v>0.95108695652173914</v>
      </c>
      <c r="D25" s="6">
        <v>7049</v>
      </c>
      <c r="E25" s="6">
        <v>26343742</v>
      </c>
      <c r="F25" s="6">
        <v>2320745</v>
      </c>
      <c r="G25" s="6">
        <v>0</v>
      </c>
      <c r="H25" s="6">
        <f t="shared" si="0"/>
        <v>2327794</v>
      </c>
      <c r="I25" s="6">
        <f t="shared" si="1"/>
        <v>28671536</v>
      </c>
      <c r="J25" s="8">
        <f t="shared" si="2"/>
        <v>8.1188325592322641E-2</v>
      </c>
      <c r="K25" s="6">
        <v>44</v>
      </c>
      <c r="L25" s="6">
        <v>149</v>
      </c>
      <c r="M25" s="6">
        <v>0</v>
      </c>
      <c r="N25" s="6">
        <v>0</v>
      </c>
      <c r="O25" s="6">
        <v>0</v>
      </c>
      <c r="P25" s="6">
        <f t="shared" si="3"/>
        <v>44</v>
      </c>
      <c r="Q25" s="8">
        <f t="shared" si="4"/>
        <v>0.25142857142857145</v>
      </c>
      <c r="R25" s="6">
        <v>13</v>
      </c>
      <c r="S25" s="6">
        <v>30</v>
      </c>
      <c r="T25" s="6">
        <v>2</v>
      </c>
      <c r="U25" s="9">
        <f>S25/Assumptions!$B$4</f>
        <v>3.75</v>
      </c>
      <c r="V25" s="15">
        <f t="shared" si="5"/>
        <v>1246588.5217391304</v>
      </c>
      <c r="W25" s="17">
        <f t="shared" si="6"/>
        <v>6.25E-2</v>
      </c>
    </row>
    <row r="26" spans="1:23" ht="15" customHeight="1" x14ac:dyDescent="0.2">
      <c r="A26" s="2" t="s">
        <v>52</v>
      </c>
      <c r="B26" s="6">
        <v>171</v>
      </c>
      <c r="C26" s="7">
        <f>B26/Assumptions!$B$5</f>
        <v>0.92934782608695654</v>
      </c>
      <c r="D26" s="6">
        <v>2560</v>
      </c>
      <c r="E26" s="6">
        <v>13840115</v>
      </c>
      <c r="F26" s="6">
        <v>13985754</v>
      </c>
      <c r="G26" s="6">
        <v>0</v>
      </c>
      <c r="H26" s="6">
        <f t="shared" si="0"/>
        <v>13988314</v>
      </c>
      <c r="I26" s="6">
        <f t="shared" si="1"/>
        <v>27828429</v>
      </c>
      <c r="J26" s="8">
        <f t="shared" si="2"/>
        <v>0.50266272666703538</v>
      </c>
      <c r="K26" s="6">
        <v>13</v>
      </c>
      <c r="L26" s="6">
        <v>114</v>
      </c>
      <c r="M26" s="6">
        <v>0</v>
      </c>
      <c r="N26" s="6">
        <v>0</v>
      </c>
      <c r="O26" s="6">
        <v>0</v>
      </c>
      <c r="P26" s="6">
        <f t="shared" si="3"/>
        <v>13</v>
      </c>
      <c r="Q26" s="8">
        <f t="shared" si="4"/>
        <v>7.6023391812865493E-2</v>
      </c>
      <c r="R26" s="6">
        <v>14</v>
      </c>
      <c r="S26" s="6">
        <v>31</v>
      </c>
      <c r="T26" s="6">
        <v>1</v>
      </c>
      <c r="U26" s="9">
        <f>S26/Assumptions!$B$4</f>
        <v>3.875</v>
      </c>
      <c r="V26" s="15">
        <f t="shared" si="5"/>
        <v>1209931.6956521738</v>
      </c>
      <c r="W26" s="17">
        <f t="shared" si="6"/>
        <v>6.458333333333334E-2</v>
      </c>
    </row>
    <row r="27" spans="1:23" ht="15" customHeight="1" x14ac:dyDescent="0.2">
      <c r="A27" s="2" t="s">
        <v>53</v>
      </c>
      <c r="B27" s="6">
        <v>165</v>
      </c>
      <c r="C27" s="7">
        <f>B27/Assumptions!$B$5</f>
        <v>0.89673913043478259</v>
      </c>
      <c r="D27" s="6">
        <v>10255</v>
      </c>
      <c r="E27" s="6">
        <v>11875659</v>
      </c>
      <c r="F27" s="6">
        <v>1136181</v>
      </c>
      <c r="G27" s="6">
        <v>0</v>
      </c>
      <c r="H27" s="6">
        <f t="shared" si="0"/>
        <v>1146436</v>
      </c>
      <c r="I27" s="6">
        <f t="shared" si="1"/>
        <v>13022095</v>
      </c>
      <c r="J27" s="8">
        <f t="shared" si="2"/>
        <v>8.8037754293759957E-2</v>
      </c>
      <c r="K27" s="6">
        <v>26</v>
      </c>
      <c r="L27" s="6">
        <v>145</v>
      </c>
      <c r="M27" s="6">
        <v>0</v>
      </c>
      <c r="N27" s="6">
        <v>0</v>
      </c>
      <c r="O27" s="6">
        <v>0</v>
      </c>
      <c r="P27" s="6">
        <f t="shared" si="3"/>
        <v>26</v>
      </c>
      <c r="Q27" s="8">
        <f t="shared" si="4"/>
        <v>0.15757575757575756</v>
      </c>
      <c r="R27" s="6">
        <v>11</v>
      </c>
      <c r="S27" s="6">
        <v>35</v>
      </c>
      <c r="T27" s="6">
        <v>1</v>
      </c>
      <c r="U27" s="9">
        <f>S27/Assumptions!$B$4</f>
        <v>4.375</v>
      </c>
      <c r="V27" s="15">
        <f t="shared" si="5"/>
        <v>566178.04347826086</v>
      </c>
      <c r="W27" s="17">
        <f t="shared" si="6"/>
        <v>7.2916666666666671E-2</v>
      </c>
    </row>
    <row r="28" spans="1:23" ht="15" customHeight="1" x14ac:dyDescent="0.2">
      <c r="A28" s="2" t="s">
        <v>54</v>
      </c>
      <c r="B28" s="6">
        <v>151</v>
      </c>
      <c r="C28" s="7">
        <f>B28/Assumptions!$B$5</f>
        <v>0.82065217391304346</v>
      </c>
      <c r="D28" s="6">
        <v>75991</v>
      </c>
      <c r="E28" s="6">
        <v>14625104</v>
      </c>
      <c r="F28" s="6">
        <v>6595830</v>
      </c>
      <c r="G28" s="6">
        <v>335642</v>
      </c>
      <c r="H28" s="6">
        <f t="shared" si="0"/>
        <v>7007463</v>
      </c>
      <c r="I28" s="6">
        <f t="shared" si="1"/>
        <v>21632567</v>
      </c>
      <c r="J28" s="8">
        <f t="shared" si="2"/>
        <v>0.32393118209225935</v>
      </c>
      <c r="K28" s="6">
        <v>4</v>
      </c>
      <c r="L28" s="6">
        <v>87</v>
      </c>
      <c r="M28" s="6">
        <v>7</v>
      </c>
      <c r="N28" s="6">
        <v>0</v>
      </c>
      <c r="O28" s="6">
        <v>0</v>
      </c>
      <c r="P28" s="6">
        <f t="shared" si="3"/>
        <v>11</v>
      </c>
      <c r="Q28" s="8">
        <f t="shared" si="4"/>
        <v>7.2847682119205295E-2</v>
      </c>
      <c r="R28" s="6">
        <v>7</v>
      </c>
      <c r="S28" s="6">
        <v>54</v>
      </c>
      <c r="T28" s="6">
        <v>4</v>
      </c>
      <c r="U28" s="9">
        <f>S28/Assumptions!$B$4</f>
        <v>6.75</v>
      </c>
      <c r="V28" s="15">
        <f t="shared" si="5"/>
        <v>940546.39130434778</v>
      </c>
      <c r="W28" s="17">
        <f t="shared" si="6"/>
        <v>0.1125</v>
      </c>
    </row>
    <row r="29" spans="1:23" ht="15" customHeight="1" x14ac:dyDescent="0.2">
      <c r="A29" s="2" t="s">
        <v>55</v>
      </c>
      <c r="B29" s="6">
        <v>143</v>
      </c>
      <c r="C29" s="7">
        <f>B29/Assumptions!$B$5</f>
        <v>0.77717391304347827</v>
      </c>
      <c r="D29" s="6">
        <v>1004</v>
      </c>
      <c r="E29" s="6">
        <v>43291910</v>
      </c>
      <c r="F29" s="6">
        <v>5194626</v>
      </c>
      <c r="G29" s="6">
        <v>0</v>
      </c>
      <c r="H29" s="6">
        <f t="shared" si="0"/>
        <v>5195630</v>
      </c>
      <c r="I29" s="6">
        <f t="shared" si="1"/>
        <v>48487540</v>
      </c>
      <c r="J29" s="8">
        <f t="shared" si="2"/>
        <v>0.10715392036799558</v>
      </c>
      <c r="K29" s="6">
        <v>10</v>
      </c>
      <c r="L29" s="6">
        <v>46</v>
      </c>
      <c r="M29" s="6">
        <v>0</v>
      </c>
      <c r="N29" s="6">
        <v>0</v>
      </c>
      <c r="O29" s="6">
        <v>0</v>
      </c>
      <c r="P29" s="6">
        <f t="shared" si="3"/>
        <v>10</v>
      </c>
      <c r="Q29" s="8">
        <f t="shared" si="4"/>
        <v>6.9930069930069935E-2</v>
      </c>
      <c r="R29" s="6">
        <v>18</v>
      </c>
      <c r="S29" s="6">
        <v>41</v>
      </c>
      <c r="T29" s="6">
        <v>1</v>
      </c>
      <c r="U29" s="9">
        <f>S29/Assumptions!$B$4</f>
        <v>5.125</v>
      </c>
      <c r="V29" s="15">
        <f t="shared" si="5"/>
        <v>2108153.913043478</v>
      </c>
      <c r="W29" s="17">
        <f t="shared" si="6"/>
        <v>8.5416666666666669E-2</v>
      </c>
    </row>
    <row r="30" spans="1:23" ht="15" customHeight="1" x14ac:dyDescent="0.2">
      <c r="A30" s="2" t="s">
        <v>56</v>
      </c>
      <c r="B30" s="6">
        <v>133</v>
      </c>
      <c r="C30" s="7">
        <f>B30/Assumptions!$B$5</f>
        <v>0.72282608695652173</v>
      </c>
      <c r="D30" s="6">
        <v>271</v>
      </c>
      <c r="E30" s="6">
        <v>7317951</v>
      </c>
      <c r="F30" s="6">
        <v>6845429</v>
      </c>
      <c r="G30" s="6">
        <v>0</v>
      </c>
      <c r="H30" s="6">
        <f t="shared" si="0"/>
        <v>6845700</v>
      </c>
      <c r="I30" s="6">
        <f t="shared" si="1"/>
        <v>14163651</v>
      </c>
      <c r="J30" s="8">
        <f t="shared" si="2"/>
        <v>0.48332876883227355</v>
      </c>
      <c r="K30" s="6">
        <v>8</v>
      </c>
      <c r="L30" s="6">
        <v>133</v>
      </c>
      <c r="M30" s="6">
        <v>0</v>
      </c>
      <c r="N30" s="6">
        <v>0</v>
      </c>
      <c r="O30" s="6">
        <v>0</v>
      </c>
      <c r="P30" s="6">
        <f t="shared" si="3"/>
        <v>8</v>
      </c>
      <c r="Q30" s="8">
        <f t="shared" si="4"/>
        <v>6.0150375939849621E-2</v>
      </c>
      <c r="R30" s="6">
        <v>10</v>
      </c>
      <c r="S30" s="6">
        <v>23</v>
      </c>
      <c r="T30" s="6">
        <v>3</v>
      </c>
      <c r="U30" s="9">
        <f>S30/Assumptions!$B$4</f>
        <v>2.875</v>
      </c>
      <c r="V30" s="15">
        <f t="shared" si="5"/>
        <v>615810.91304347827</v>
      </c>
      <c r="W30" s="17">
        <f t="shared" si="6"/>
        <v>4.791666666666667E-2</v>
      </c>
    </row>
    <row r="31" spans="1:23" ht="15" customHeight="1" x14ac:dyDescent="0.2">
      <c r="A31" s="2" t="s">
        <v>57</v>
      </c>
      <c r="B31" s="6">
        <v>128</v>
      </c>
      <c r="C31" s="7">
        <f>B31/Assumptions!$B$5</f>
        <v>0.69565217391304346</v>
      </c>
      <c r="D31" s="6">
        <v>8115</v>
      </c>
      <c r="E31" s="6">
        <v>10636360</v>
      </c>
      <c r="F31" s="6">
        <v>3222313</v>
      </c>
      <c r="G31" s="6">
        <v>0</v>
      </c>
      <c r="H31" s="6">
        <f t="shared" si="0"/>
        <v>3230428</v>
      </c>
      <c r="I31" s="6">
        <f t="shared" si="1"/>
        <v>13866788</v>
      </c>
      <c r="J31" s="8">
        <f t="shared" si="2"/>
        <v>0.23296151927901401</v>
      </c>
      <c r="K31" s="6">
        <v>23</v>
      </c>
      <c r="L31" s="6">
        <v>96</v>
      </c>
      <c r="M31" s="6">
        <v>0</v>
      </c>
      <c r="N31" s="6">
        <v>0</v>
      </c>
      <c r="O31" s="6">
        <v>0</v>
      </c>
      <c r="P31" s="6">
        <f t="shared" si="3"/>
        <v>23</v>
      </c>
      <c r="Q31" s="8">
        <f t="shared" si="4"/>
        <v>0.1796875</v>
      </c>
      <c r="R31" s="6">
        <v>14</v>
      </c>
      <c r="S31" s="6">
        <v>30</v>
      </c>
      <c r="T31" s="6">
        <v>1</v>
      </c>
      <c r="U31" s="9">
        <f>S31/Assumptions!$B$4</f>
        <v>3.75</v>
      </c>
      <c r="V31" s="15">
        <f t="shared" si="5"/>
        <v>602903.82608695654</v>
      </c>
      <c r="W31" s="17">
        <f t="shared" si="6"/>
        <v>6.25E-2</v>
      </c>
    </row>
    <row r="32" spans="1:23" ht="15" customHeight="1" x14ac:dyDescent="0.2">
      <c r="A32" s="2" t="s">
        <v>58</v>
      </c>
      <c r="B32" s="6">
        <v>103</v>
      </c>
      <c r="C32" s="7">
        <f>B32/Assumptions!$B$5</f>
        <v>0.55978260869565222</v>
      </c>
      <c r="D32" s="6">
        <v>19991</v>
      </c>
      <c r="E32" s="6">
        <v>9595319</v>
      </c>
      <c r="F32" s="6">
        <v>3092372</v>
      </c>
      <c r="G32" s="6">
        <v>119038</v>
      </c>
      <c r="H32" s="6">
        <f t="shared" si="0"/>
        <v>3231401</v>
      </c>
      <c r="I32" s="6">
        <f t="shared" si="1"/>
        <v>12826720</v>
      </c>
      <c r="J32" s="8">
        <f t="shared" si="2"/>
        <v>0.25192730487607118</v>
      </c>
      <c r="K32" s="6">
        <v>6</v>
      </c>
      <c r="L32" s="6">
        <v>48</v>
      </c>
      <c r="M32" s="6">
        <v>6</v>
      </c>
      <c r="N32" s="6">
        <v>0</v>
      </c>
      <c r="O32" s="6">
        <v>0</v>
      </c>
      <c r="P32" s="6">
        <f t="shared" si="3"/>
        <v>12</v>
      </c>
      <c r="Q32" s="8">
        <f t="shared" si="4"/>
        <v>0.11650485436893204</v>
      </c>
      <c r="R32" s="6">
        <v>7</v>
      </c>
      <c r="S32" s="6">
        <v>27</v>
      </c>
      <c r="T32" s="6">
        <v>3</v>
      </c>
      <c r="U32" s="9">
        <f>S32/Assumptions!$B$4</f>
        <v>3.375</v>
      </c>
      <c r="V32" s="15">
        <f t="shared" si="5"/>
        <v>557683.47826086951</v>
      </c>
      <c r="W32" s="17">
        <f t="shared" si="6"/>
        <v>5.6250000000000001E-2</v>
      </c>
    </row>
    <row r="33" spans="1:23" ht="15" customHeight="1" x14ac:dyDescent="0.2">
      <c r="A33" s="2" t="s">
        <v>59</v>
      </c>
      <c r="B33" s="6">
        <v>77</v>
      </c>
      <c r="C33" s="7">
        <f>B33/Assumptions!$B$5</f>
        <v>0.41847826086956524</v>
      </c>
      <c r="D33" s="6">
        <v>5993</v>
      </c>
      <c r="E33" s="6">
        <v>3153534</v>
      </c>
      <c r="F33" s="6">
        <v>746969</v>
      </c>
      <c r="G33" s="6">
        <v>0</v>
      </c>
      <c r="H33" s="6">
        <f t="shared" si="0"/>
        <v>752962</v>
      </c>
      <c r="I33" s="6">
        <f t="shared" si="1"/>
        <v>3906496</v>
      </c>
      <c r="J33" s="8">
        <f t="shared" si="2"/>
        <v>0.19274613361948917</v>
      </c>
      <c r="K33" s="6">
        <v>25</v>
      </c>
      <c r="L33" s="6">
        <v>69</v>
      </c>
      <c r="M33" s="6">
        <v>0</v>
      </c>
      <c r="N33" s="6">
        <v>0</v>
      </c>
      <c r="O33" s="6">
        <v>0</v>
      </c>
      <c r="P33" s="6">
        <f t="shared" si="3"/>
        <v>25</v>
      </c>
      <c r="Q33" s="8">
        <f t="shared" si="4"/>
        <v>0.32467532467532467</v>
      </c>
      <c r="R33" s="6">
        <v>16</v>
      </c>
      <c r="S33" s="6">
        <v>13</v>
      </c>
      <c r="T33" s="6">
        <v>1</v>
      </c>
      <c r="U33" s="9">
        <f>S33/Assumptions!$B$4</f>
        <v>1.625</v>
      </c>
      <c r="V33" s="15">
        <f t="shared" si="5"/>
        <v>169847.65217391305</v>
      </c>
      <c r="W33" s="17">
        <f t="shared" si="6"/>
        <v>2.7083333333333334E-2</v>
      </c>
    </row>
    <row r="34" spans="1:23" ht="15" customHeight="1" x14ac:dyDescent="0.2">
      <c r="A34" s="2" t="s">
        <v>60</v>
      </c>
      <c r="B34" s="6">
        <v>48</v>
      </c>
      <c r="C34" s="7">
        <f>B34/Assumptions!$B$5</f>
        <v>0.2608695652173913</v>
      </c>
      <c r="D34" s="6">
        <v>933</v>
      </c>
      <c r="E34" s="6">
        <v>4955700</v>
      </c>
      <c r="F34" s="6">
        <v>960419</v>
      </c>
      <c r="G34" s="6">
        <v>0</v>
      </c>
      <c r="H34" s="6">
        <f t="shared" si="0"/>
        <v>961352</v>
      </c>
      <c r="I34" s="6">
        <f t="shared" si="1"/>
        <v>5917052</v>
      </c>
      <c r="J34" s="8">
        <f t="shared" si="2"/>
        <v>0.16247144692999149</v>
      </c>
      <c r="K34" s="6">
        <v>10</v>
      </c>
      <c r="L34" s="6">
        <v>40</v>
      </c>
      <c r="M34" s="6">
        <v>0</v>
      </c>
      <c r="N34" s="6">
        <v>0</v>
      </c>
      <c r="O34" s="6">
        <v>0</v>
      </c>
      <c r="P34" s="6">
        <f t="shared" si="3"/>
        <v>10</v>
      </c>
      <c r="Q34" s="8">
        <f t="shared" si="4"/>
        <v>0.20833333333333334</v>
      </c>
      <c r="R34" s="6">
        <v>8</v>
      </c>
      <c r="S34" s="6">
        <v>12</v>
      </c>
      <c r="T34" s="6">
        <v>1</v>
      </c>
      <c r="U34" s="9">
        <f>S34/Assumptions!$B$4</f>
        <v>1.5</v>
      </c>
      <c r="V34" s="15">
        <f t="shared" si="5"/>
        <v>257263.13043478262</v>
      </c>
      <c r="W34" s="17">
        <f t="shared" si="6"/>
        <v>2.5000000000000001E-2</v>
      </c>
    </row>
    <row r="35" spans="1:23" ht="15" customHeight="1" x14ac:dyDescent="0.2">
      <c r="A35" s="2" t="s">
        <v>61</v>
      </c>
      <c r="B35" s="6">
        <v>24</v>
      </c>
      <c r="C35" s="7">
        <f>B35/Assumptions!$B$5</f>
        <v>0.13043478260869565</v>
      </c>
      <c r="D35" s="6">
        <v>1726</v>
      </c>
      <c r="E35" s="6">
        <v>737978</v>
      </c>
      <c r="F35" s="6">
        <v>145951</v>
      </c>
      <c r="G35" s="6">
        <v>0</v>
      </c>
      <c r="H35" s="6">
        <f t="shared" si="0"/>
        <v>147677</v>
      </c>
      <c r="I35" s="6">
        <f t="shared" si="1"/>
        <v>885655</v>
      </c>
      <c r="J35" s="8">
        <f t="shared" si="2"/>
        <v>0.16674325781483762</v>
      </c>
      <c r="K35" s="6">
        <v>9</v>
      </c>
      <c r="L35" s="6">
        <v>15</v>
      </c>
      <c r="M35" s="6">
        <v>0</v>
      </c>
      <c r="N35" s="6">
        <v>0</v>
      </c>
      <c r="O35" s="6">
        <v>0</v>
      </c>
      <c r="P35" s="6">
        <f t="shared" si="3"/>
        <v>9</v>
      </c>
      <c r="Q35" s="8">
        <f t="shared" si="4"/>
        <v>0.375</v>
      </c>
      <c r="R35" s="6">
        <v>6</v>
      </c>
      <c r="S35" s="6">
        <v>8</v>
      </c>
      <c r="T35" s="6">
        <v>2</v>
      </c>
      <c r="U35" s="9">
        <f>S35/Assumptions!$B$4</f>
        <v>1</v>
      </c>
      <c r="V35" s="15">
        <f t="shared" si="5"/>
        <v>38506.739130434784</v>
      </c>
      <c r="W35" s="17">
        <f t="shared" si="6"/>
        <v>1.6666666666666666E-2</v>
      </c>
    </row>
    <row r="36" spans="1:23" ht="15" customHeight="1" x14ac:dyDescent="0.2">
      <c r="A36" s="2" t="s">
        <v>62</v>
      </c>
      <c r="B36" s="6">
        <v>17</v>
      </c>
      <c r="C36" s="7">
        <f>B36/Assumptions!$B$5</f>
        <v>9.2391304347826081E-2</v>
      </c>
      <c r="D36" s="6">
        <v>726</v>
      </c>
      <c r="E36" s="6">
        <v>570711</v>
      </c>
      <c r="F36" s="6">
        <v>121761</v>
      </c>
      <c r="G36" s="6">
        <v>0</v>
      </c>
      <c r="H36" s="6">
        <f t="shared" si="0"/>
        <v>122487</v>
      </c>
      <c r="I36" s="6">
        <f t="shared" si="1"/>
        <v>693198</v>
      </c>
      <c r="J36" s="8">
        <f t="shared" si="2"/>
        <v>0.17669843248249417</v>
      </c>
      <c r="K36" s="6">
        <v>4</v>
      </c>
      <c r="L36" s="6">
        <v>12</v>
      </c>
      <c r="M36" s="6">
        <v>0</v>
      </c>
      <c r="N36" s="6">
        <v>0</v>
      </c>
      <c r="O36" s="6">
        <v>0</v>
      </c>
      <c r="P36" s="6">
        <f t="shared" si="3"/>
        <v>4</v>
      </c>
      <c r="Q36" s="8">
        <f t="shared" si="4"/>
        <v>0.23529411764705882</v>
      </c>
      <c r="R36" s="6">
        <v>3</v>
      </c>
      <c r="S36" s="6">
        <v>7</v>
      </c>
      <c r="T36" s="6">
        <v>4</v>
      </c>
      <c r="U36" s="9">
        <f>S36/Assumptions!$B$4</f>
        <v>0.875</v>
      </c>
      <c r="V36" s="15">
        <f t="shared" si="5"/>
        <v>30139.043478260868</v>
      </c>
      <c r="W36" s="17">
        <f t="shared" si="6"/>
        <v>1.4583333333333334E-2</v>
      </c>
    </row>
    <row r="37" spans="1:23" ht="15" customHeight="1" x14ac:dyDescent="0.2">
      <c r="A37" s="2" t="s">
        <v>63</v>
      </c>
      <c r="B37" s="6">
        <v>10</v>
      </c>
      <c r="C37" s="7">
        <f>B37/Assumptions!$B$5</f>
        <v>5.434782608695652E-2</v>
      </c>
      <c r="D37" s="6">
        <v>30</v>
      </c>
      <c r="E37" s="6">
        <v>389765</v>
      </c>
      <c r="F37" s="6">
        <v>55836</v>
      </c>
      <c r="G37" s="6">
        <v>0</v>
      </c>
      <c r="H37" s="6">
        <f t="shared" si="0"/>
        <v>55866</v>
      </c>
      <c r="I37" s="6">
        <f t="shared" si="1"/>
        <v>445631</v>
      </c>
      <c r="J37" s="8">
        <f t="shared" si="2"/>
        <v>0.12536380996833704</v>
      </c>
      <c r="K37" s="6">
        <v>4</v>
      </c>
      <c r="L37" s="6">
        <v>5</v>
      </c>
      <c r="M37" s="6">
        <v>0</v>
      </c>
      <c r="N37" s="6">
        <v>0</v>
      </c>
      <c r="O37" s="6">
        <v>0</v>
      </c>
      <c r="P37" s="6">
        <f t="shared" si="3"/>
        <v>4</v>
      </c>
      <c r="Q37" s="8">
        <f t="shared" si="4"/>
        <v>0.4</v>
      </c>
      <c r="R37" s="6">
        <v>2</v>
      </c>
      <c r="S37" s="6">
        <v>6</v>
      </c>
      <c r="T37" s="6">
        <v>4</v>
      </c>
      <c r="U37" s="9">
        <f>S37/Assumptions!$B$4</f>
        <v>0.75</v>
      </c>
      <c r="V37" s="15">
        <f t="shared" si="5"/>
        <v>19375.260869565216</v>
      </c>
      <c r="W37" s="17">
        <f t="shared" si="6"/>
        <v>1.2500000000000001E-2</v>
      </c>
    </row>
    <row r="38" spans="1:23" ht="15" customHeight="1" x14ac:dyDescent="0.2">
      <c r="A38" s="2" t="s">
        <v>64</v>
      </c>
      <c r="B38" s="6">
        <v>1</v>
      </c>
      <c r="C38" s="7">
        <f>B38/Assumptions!$B$5</f>
        <v>5.434782608695652E-3</v>
      </c>
      <c r="D38" s="6">
        <v>2</v>
      </c>
      <c r="E38" s="6">
        <v>29955</v>
      </c>
      <c r="F38" s="6">
        <v>222701</v>
      </c>
      <c r="G38" s="6">
        <v>0</v>
      </c>
      <c r="H38" s="6">
        <f t="shared" si="0"/>
        <v>222703</v>
      </c>
      <c r="I38" s="6">
        <f t="shared" si="1"/>
        <v>252658</v>
      </c>
      <c r="J38" s="8">
        <f t="shared" si="2"/>
        <v>0.88144052434516218</v>
      </c>
      <c r="K38" s="6">
        <v>1</v>
      </c>
      <c r="L38" s="6">
        <v>1</v>
      </c>
      <c r="M38" s="6">
        <v>0</v>
      </c>
      <c r="N38" s="6">
        <v>0</v>
      </c>
      <c r="O38" s="6">
        <v>0</v>
      </c>
      <c r="P38" s="6">
        <f t="shared" si="3"/>
        <v>1</v>
      </c>
      <c r="Q38" s="8">
        <f t="shared" si="4"/>
        <v>1</v>
      </c>
      <c r="R38" s="6">
        <v>1</v>
      </c>
      <c r="S38" s="6">
        <v>1</v>
      </c>
      <c r="T38" s="6">
        <v>1</v>
      </c>
      <c r="U38" s="9">
        <f>S38/Assumptions!$B$4</f>
        <v>0.125</v>
      </c>
      <c r="V38" s="15">
        <f t="shared" si="5"/>
        <v>10985.130434782608</v>
      </c>
      <c r="W38" s="17">
        <f t="shared" si="6"/>
        <v>2.0833333333333333E-3</v>
      </c>
    </row>
    <row r="39" spans="1:23" ht="15" customHeight="1" x14ac:dyDescent="0.2">
      <c r="A39" s="10" t="s">
        <v>65</v>
      </c>
      <c r="B39" s="11">
        <f>SUM(B2:B38)</f>
        <v>37289</v>
      </c>
      <c r="C39" s="12">
        <f>B39/Assumptions!$B$5</f>
        <v>202.65760869565219</v>
      </c>
      <c r="D39" s="11">
        <f t="shared" ref="D39:I39" si="7">SUM(D2:D38)</f>
        <v>7554189</v>
      </c>
      <c r="E39" s="11">
        <f t="shared" si="7"/>
        <v>7091169846</v>
      </c>
      <c r="F39" s="11">
        <f t="shared" si="7"/>
        <v>294246202</v>
      </c>
      <c r="G39" s="11">
        <f t="shared" si="7"/>
        <v>236436169</v>
      </c>
      <c r="H39" s="11">
        <f t="shared" si="7"/>
        <v>538236560</v>
      </c>
      <c r="I39" s="11">
        <f t="shared" si="7"/>
        <v>7629406406</v>
      </c>
      <c r="J39" s="13">
        <f t="shared" si="2"/>
        <v>7.0547632588652529E-2</v>
      </c>
      <c r="K39" s="11">
        <f t="shared" ref="K39:P39" si="8">SUM(K2:K38)</f>
        <v>489</v>
      </c>
      <c r="L39" s="11">
        <f t="shared" si="8"/>
        <v>4845</v>
      </c>
      <c r="M39" s="11">
        <f t="shared" si="8"/>
        <v>1615</v>
      </c>
      <c r="N39" s="11">
        <f t="shared" si="8"/>
        <v>1</v>
      </c>
      <c r="O39" s="11">
        <f t="shared" si="8"/>
        <v>12</v>
      </c>
      <c r="P39" s="11">
        <f t="shared" si="8"/>
        <v>2105</v>
      </c>
      <c r="Q39" s="13">
        <f t="shared" si="4"/>
        <v>5.6450964091286977E-2</v>
      </c>
      <c r="S39" s="10">
        <f>MAX(S2:S38)</f>
        <v>1379</v>
      </c>
      <c r="T39" s="10">
        <f>MIN(T2:T38)</f>
        <v>1</v>
      </c>
      <c r="U39" s="14">
        <f>S39/Assumptions!$B$4</f>
        <v>172.375</v>
      </c>
      <c r="V39" s="16">
        <f t="shared" si="5"/>
        <v>331713322</v>
      </c>
      <c r="W39" s="17">
        <f t="shared" si="6"/>
        <v>2.8729166666666668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July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Muller</cp:lastModifiedBy>
  <cp:revision>0</cp:revision>
  <dcterms:created xsi:type="dcterms:W3CDTF">2026-09-04T09:37:00Z</dcterms:created>
  <dcterms:modified xsi:type="dcterms:W3CDTF">2026-09-06T20:38:17Z</dcterms:modified>
  <dc:language>en-US</dc:language>
</cp:coreProperties>
</file>